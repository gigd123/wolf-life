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1 行動體力" sheetId="2" state="visible" r:id="rId2"/>
    <sheet name="2 傷勢與恢復" sheetId="3" state="visible" r:id="rId3"/>
    <sheet name="3 狩獵方式" sheetId="4" state="visible" r:id="rId4"/>
    <sheet name="4 搏鬥力量值" sheetId="5" state="visible" r:id="rId5"/>
    <sheet name="5 戰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3F5F4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pivotButton="0" quotePrefix="0" xfId="0"/>
    <xf numFmtId="0" fontId="4" fillId="0" borderId="1" pivotButton="0" quotePrefix="0" xfId="0"/>
    <xf numFmtId="0" fontId="6" fillId="0" borderId="0" pivotButton="0" quotePrefix="0" xfId="0"/>
    <xf numFmtId="9" fontId="4" fillId="0" borderId="0" pivotButton="0" quotePrefix="0" xfId="0"/>
    <xf numFmtId="0" fontId="4" fillId="2" borderId="1" pivotButton="0" quotePrefix="0" xfId="0"/>
    <xf numFmtId="9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Phase 1.7 平衡與手感：數值初版（2026-10-05）</t>
        </is>
      </c>
    </row>
    <row r="3">
      <c r="A3" s="2" t="inlineStr">
        <is>
          <t>這份是 1.7 開工前要先定的數值。黃底的格子是提案值，請在每張表最右邊的「你的意見」欄寫下同意、修改或疑問。</t>
        </is>
      </c>
    </row>
    <row r="4">
      <c r="A4" s="2" t="inlineStr">
        <is>
          <t>藍字是可以改的輸入，旁邊用公式算出的結果會跟著變（例如「行動體力」下方的一天試算、「搏鬥力量值」的成功率）。</t>
        </is>
      </c>
    </row>
    <row r="5">
      <c r="A5" s="2" t="inlineStr">
        <is>
          <t>所有數值都是初始值：同意後實作，再用模擬確認，結果寫回 progress.md；試玩後可以再調。</t>
        </is>
      </c>
    </row>
    <row r="6">
      <c r="A6" s="2" t="inlineStr"/>
    </row>
    <row r="7">
      <c r="A7" s="2" t="inlineStr">
        <is>
          <t>目前的狀況（2026-10-05 用自動玩家量測，12 隻狼 × 30 天）：</t>
        </is>
      </c>
    </row>
    <row r="8">
      <c r="A8" s="2" t="inlineStr">
        <is>
          <t xml:space="preserve">　・一天平均探索 2.8 次、狩獵 1.3 次、短暫休息 3.9 次（多半是吃太飽而休息）、睡覺 1.4 次</t>
        </is>
      </c>
    </row>
    <row r="9">
      <c r="A9" s="2" t="inlineStr">
        <is>
          <t xml:space="preserve">　・一天之中體力最低點平均 82／100：體力幾乎從來不是限制，探索與採集完全不花體力</t>
        </is>
      </c>
    </row>
    <row r="10">
      <c r="A10" s="2" t="inlineStr">
        <is>
          <t xml:space="preserve">　・受傷：輕傷 2 天、重傷 3～5 天，每天固定減 1 天，不管有沒有休息、吃飽；重傷時睡覺回血減半</t>
        </is>
      </c>
    </row>
    <row r="11">
      <c r="A11" s="2" t="inlineStr"/>
    </row>
    <row r="12">
      <c r="A12" s="2" t="inlineStr">
        <is>
          <t>分頁：</t>
        </is>
      </c>
    </row>
    <row r="13">
      <c r="A13" s="2" t="inlineStr">
        <is>
          <t xml:space="preserve">　1 行動體力 — QA-48：每個行動的體力消耗，下方有一天的試算</t>
        </is>
      </c>
    </row>
    <row r="14">
      <c r="A14" s="2" t="inlineStr">
        <is>
          <t xml:space="preserve">　2 傷勢與恢復 — QA-45、46：受傷的回血上限、痊癒速度與休養品質</t>
        </is>
      </c>
    </row>
    <row r="15">
      <c r="A15" s="2" t="inlineStr">
        <is>
          <t xml:space="preserve">　3 狩獵方式 — QA-50：每種獵物適合長距離跟隨還是短衝</t>
        </is>
      </c>
    </row>
    <row r="16">
      <c r="A16" s="2" t="inlineStr">
        <is>
          <t xml:space="preserve">　4 搏鬥力量值 — 取代「力量值 − 40 − 反擊」，下方可以比較新舊成功率</t>
        </is>
      </c>
    </row>
    <row r="17">
      <c r="A17" s="2" t="inlineStr">
        <is>
          <t xml:space="preserve">　5 戰鬥 — QA-10、49：目前的數值，等你的試玩紀錄再定</t>
        </is>
      </c>
    </row>
    <row r="20">
      <c r="A20" s="3" t="inlineStr">
        <is>
          <t>圖例</t>
        </is>
      </c>
    </row>
    <row r="21">
      <c r="A21" s="4" t="inlineStr">
        <is>
          <t>提案值</t>
        </is>
      </c>
    </row>
    <row r="22">
      <c r="A22" s="5" t="inlineStr">
        <is>
          <t>可以改的輸入（藍字）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48" customWidth="1" min="5" max="5"/>
    <col width="30" customWidth="1" min="6" max="6"/>
  </cols>
  <sheetData>
    <row r="1">
      <c r="A1" s="1" t="inlineStr">
        <is>
          <t>QA-48：行動的體力消耗（負數 = 消耗）</t>
        </is>
      </c>
    </row>
    <row r="3">
      <c r="A3" s="6" t="inlineStr">
        <is>
          <t>行動</t>
        </is>
      </c>
      <c r="B3" s="6" t="inlineStr">
        <is>
          <t>花的回合</t>
        </is>
      </c>
      <c r="C3" s="6" t="inlineStr">
        <is>
          <t>目前體力</t>
        </is>
      </c>
      <c r="D3" s="6" t="inlineStr">
        <is>
          <t>提案體力</t>
        </is>
      </c>
      <c r="E3" s="6" t="inlineStr">
        <is>
          <t>理由</t>
        </is>
      </c>
      <c r="F3" s="6" t="inlineStr">
        <is>
          <t>你的意見</t>
        </is>
      </c>
    </row>
    <row r="4">
      <c r="A4" s="7" t="inlineStr">
        <is>
          <t>探索</t>
        </is>
      </c>
      <c r="B4" s="7" t="n">
        <v>1</v>
      </c>
      <c r="C4" s="7" t="n">
        <v>0</v>
      </c>
      <c r="D4" s="8" t="n">
        <v>-3</v>
      </c>
      <c r="E4" s="7" t="inlineStr">
        <is>
          <t>一天探索十幾次時，傍晚會累（約 −36）；只探索兩三次則幾乎沒感覺</t>
        </is>
      </c>
      <c r="F4" s="7" t="inlineStr"/>
    </row>
    <row r="5">
      <c r="A5" s="7" t="inlineStr">
        <is>
          <t>採集</t>
        </is>
      </c>
      <c r="B5" s="7" t="n">
        <v>1</v>
      </c>
      <c r="C5" s="7" t="n">
        <v>0</v>
      </c>
      <c r="D5" s="8" t="n">
        <v>-2</v>
      </c>
      <c r="E5" s="7" t="inlineStr">
        <is>
          <t>彎腰翻找、挖掘，比探索輕</t>
        </is>
      </c>
      <c r="F5" s="7" t="inlineStr"/>
    </row>
    <row r="6">
      <c r="A6" s="7" t="inlineStr">
        <is>
          <t>找睡覺的地方</t>
        </is>
      </c>
      <c r="B6" s="7" t="n">
        <v>1</v>
      </c>
      <c r="C6" s="7" t="n">
        <v>0</v>
      </c>
      <c r="D6" s="8" t="n">
        <v>-2</v>
      </c>
      <c r="E6" s="7" t="inlineStr">
        <is>
          <t>四處走動找地方</t>
        </is>
      </c>
      <c r="F6" s="7" t="inlineStr"/>
    </row>
    <row r="7">
      <c r="A7" s="7" t="inlineStr">
        <is>
          <t>追蹤足跡</t>
        </is>
      </c>
      <c r="B7" s="7" t="n">
        <v>1</v>
      </c>
      <c r="C7" s="7" t="n">
        <v>0</v>
      </c>
      <c r="D7" s="8" t="n">
        <v>-3</v>
      </c>
      <c r="E7" s="7" t="inlineStr">
        <is>
          <t>專注地追一段路，和探索相同</t>
        </is>
      </c>
      <c r="F7" s="7" t="inlineStr"/>
    </row>
    <row r="8">
      <c r="A8" s="7" t="inlineStr">
        <is>
          <t>回到殘骸</t>
        </is>
      </c>
      <c r="B8" s="7" t="n">
        <v>1</v>
      </c>
      <c r="C8" s="7" t="n">
        <v>0</v>
      </c>
      <c r="D8" s="8" t="n">
        <v>-1</v>
      </c>
      <c r="E8" s="7" t="inlineStr">
        <is>
          <t>走回附近，很輕</t>
        </is>
      </c>
      <c r="F8" s="7" t="inlineStr"/>
    </row>
    <row r="9">
      <c r="A9" s="7" t="inlineStr">
        <is>
          <t>移動到相鄰區域（基本）</t>
        </is>
      </c>
      <c r="B9" s="7" t="n">
        <v>1</v>
      </c>
      <c r="C9" s="7" t="n">
        <v>0</v>
      </c>
      <c r="D9" s="8" t="n">
        <v>-3</v>
      </c>
      <c r="E9" s="7" t="inlineStr">
        <is>
          <t>目前只有地形的額外消耗（0～5），有些區域移動完全不花體力</t>
        </is>
      </c>
      <c r="F9" s="7" t="inlineStr"/>
    </row>
    <row r="10">
      <c r="A10" s="7" t="inlineStr">
        <is>
          <t>移動的地形加成</t>
        </is>
      </c>
      <c r="B10" s="7" t="n">
        <v>0</v>
      </c>
      <c r="C10" s="7" t="inlineStr">
        <is>
          <t>0～5</t>
        </is>
      </c>
      <c r="D10" s="8" t="inlineStr">
        <is>
          <t>不變</t>
        </is>
      </c>
      <c r="E10" s="7" t="inlineStr">
        <is>
          <t>沿用各區的 terrain_stamina_modifier（倒木、遠北較累）</t>
        </is>
      </c>
      <c r="F10" s="7" t="inlineStr"/>
    </row>
    <row r="11">
      <c r="A11" s="7" t="inlineStr">
        <is>
          <t>跨地圖移動</t>
        </is>
      </c>
      <c r="B11" s="7" t="n">
        <v>3</v>
      </c>
      <c r="C11" s="7" t="n">
        <v>-8</v>
      </c>
      <c r="D11" s="8" t="n">
        <v>-10</v>
      </c>
      <c r="E11" s="7" t="inlineStr">
        <is>
          <t>比照 3 次移動（−3 × 3 ≈ −9），取整數</t>
        </is>
      </c>
      <c r="F11" s="7" t="inlineStr"/>
    </row>
    <row r="12">
      <c r="A12" s="7" t="inlineStr">
        <is>
          <t>進食（吃一段）</t>
        </is>
      </c>
      <c r="B12" s="7" t="n">
        <v>1</v>
      </c>
      <c r="C12" s="7" t="n">
        <v>0</v>
      </c>
      <c r="D12" s="8" t="n">
        <v>0</v>
      </c>
      <c r="E12" s="7" t="inlineStr">
        <is>
          <t>不消耗</t>
        </is>
      </c>
      <c r="F12" s="7" t="inlineStr"/>
    </row>
    <row r="13">
      <c r="A13" s="7" t="inlineStr">
        <is>
          <t>短暫休息</t>
        </is>
      </c>
      <c r="B13" s="7" t="n">
        <v>2</v>
      </c>
      <c r="C13" s="7" t="n">
        <v>15</v>
      </c>
      <c r="D13" s="8" t="n">
        <v>15</v>
      </c>
      <c r="E13" s="7" t="inlineStr">
        <is>
          <t>不變；休息最多回到 80</t>
        </is>
      </c>
      <c r="F13" s="7" t="inlineStr"/>
    </row>
    <row r="14">
      <c r="A14" s="7" t="inlineStr">
        <is>
          <t>休息到…（每回合）</t>
        </is>
      </c>
      <c r="B14" s="7" t="n">
        <v>1</v>
      </c>
      <c r="C14" s="7" t="n">
        <v>7.5</v>
      </c>
      <c r="D14" s="8" t="n">
        <v>7.5</v>
      </c>
      <c r="E14" s="7" t="inlineStr">
        <is>
          <t>不變</t>
        </is>
      </c>
      <c r="F14" s="7" t="inlineStr"/>
    </row>
    <row r="15">
      <c r="A15" s="7" t="inlineStr">
        <is>
          <t>狩獵、戰鬥的各選項</t>
        </is>
      </c>
      <c r="B15" s="7" t="inlineStr">
        <is>
          <t>—</t>
        </is>
      </c>
      <c r="C15" s="7" t="inlineStr">
        <is>
          <t>各選項</t>
        </is>
      </c>
      <c r="D15" s="8" t="inlineStr">
        <is>
          <t>不變</t>
        </is>
      </c>
      <c r="E15" s="7" t="inlineStr">
        <is>
          <t>衝刺 −30、跟隨 −10、撲咬 −6…已經有消耗</t>
        </is>
      </c>
      <c r="F15" s="7" t="inlineStr"/>
    </row>
    <row r="18">
      <c r="A18" s="3" t="inlineStr">
        <is>
          <t>一天的試算（改藍字的次數，看傍晚還剩多少體力）</t>
        </is>
      </c>
    </row>
    <row r="19">
      <c r="A19" s="6" t="inlineStr">
        <is>
          <t>行動</t>
        </is>
      </c>
      <c r="B19" s="6" t="inlineStr">
        <is>
          <t>一天做幾次</t>
        </is>
      </c>
      <c r="C19" s="6" t="inlineStr">
        <is>
          <t>目前每次</t>
        </is>
      </c>
      <c r="D19" s="6" t="inlineStr">
        <is>
          <t>提案每次</t>
        </is>
      </c>
      <c r="E19" s="6" t="inlineStr">
        <is>
          <t>目前小計</t>
        </is>
      </c>
      <c r="F19" s="6" t="inlineStr">
        <is>
          <t>提案小計</t>
        </is>
      </c>
    </row>
    <row r="20">
      <c r="A20" s="9" t="inlineStr">
        <is>
          <t>探索</t>
        </is>
      </c>
      <c r="B20" s="10" t="n">
        <v>12</v>
      </c>
      <c r="C20" s="9">
        <f>C4</f>
        <v/>
      </c>
      <c r="D20" s="9">
        <f>D4</f>
        <v/>
      </c>
      <c r="E20" s="9">
        <f>B20*C20</f>
        <v/>
      </c>
      <c r="F20" s="9">
        <f>B20*D20</f>
        <v/>
      </c>
    </row>
    <row r="21">
      <c r="A21" s="9" t="inlineStr">
        <is>
          <t>採集</t>
        </is>
      </c>
      <c r="B21" s="10" t="n">
        <v>2</v>
      </c>
      <c r="C21" s="9">
        <f>C5</f>
        <v/>
      </c>
      <c r="D21" s="9">
        <f>D5</f>
        <v/>
      </c>
      <c r="E21" s="9">
        <f>B21*C21</f>
        <v/>
      </c>
      <c r="F21" s="9">
        <f>B21*D21</f>
        <v/>
      </c>
    </row>
    <row r="22">
      <c r="A22" s="9" t="inlineStr">
        <is>
          <t>追蹤足跡</t>
        </is>
      </c>
      <c r="B22" s="10" t="n">
        <v>1</v>
      </c>
      <c r="C22" s="9">
        <f>C7</f>
        <v/>
      </c>
      <c r="D22" s="9">
        <f>D7</f>
        <v/>
      </c>
      <c r="E22" s="9">
        <f>B22*C22</f>
        <v/>
      </c>
      <c r="F22" s="9">
        <f>B22*D22</f>
        <v/>
      </c>
    </row>
    <row r="23">
      <c r="A23" s="9" t="inlineStr">
        <is>
          <t>移動（基本）</t>
        </is>
      </c>
      <c r="B23" s="10" t="n">
        <v>2</v>
      </c>
      <c r="C23" s="9">
        <f>C9</f>
        <v/>
      </c>
      <c r="D23" s="9">
        <f>D9</f>
        <v/>
      </c>
      <c r="E23" s="9">
        <f>B23*C23</f>
        <v/>
      </c>
      <c r="F23" s="9">
        <f>B23*D23</f>
        <v/>
      </c>
    </row>
    <row r="24">
      <c r="A24" s="9" t="inlineStr">
        <is>
          <t>狩獵一次（約）</t>
        </is>
      </c>
      <c r="B24" s="10" t="n">
        <v>1</v>
      </c>
      <c r="C24" s="10" t="n">
        <v>-16</v>
      </c>
      <c r="D24" s="10" t="n">
        <v>-16</v>
      </c>
      <c r="E24" s="9">
        <f>B24*C24</f>
        <v/>
      </c>
      <c r="F24" s="9">
        <f>B24*D24</f>
        <v/>
      </c>
    </row>
    <row r="25">
      <c r="A25" t="inlineStr">
        <is>
          <t>短暫休息次數</t>
        </is>
      </c>
      <c r="B25" s="5" t="n">
        <v>0</v>
      </c>
      <c r="C25">
        <f>C13</f>
        <v/>
      </c>
      <c r="D25">
        <f>D13</f>
        <v/>
      </c>
      <c r="E25">
        <f>B25*C25</f>
        <v/>
      </c>
      <c r="F25">
        <f>B25*D25</f>
        <v/>
      </c>
    </row>
    <row r="26">
      <c r="A26" s="3" t="inlineStr">
        <is>
          <t>傍晚剩下的體力（從 100 開始）</t>
        </is>
      </c>
      <c r="E26" s="3">
        <f>MIN(100,100+SUM(E20:E25))</f>
        <v/>
      </c>
      <c r="F26" s="3">
        <f>MIN(100,100+SUM(F20:F25))</f>
        <v/>
      </c>
    </row>
    <row r="27">
      <c r="A27" s="11" t="inlineStr">
        <is>
          <t>註：狩獵一次 −16 是自動玩家量到的平均（小獵物的撲抓很省、追鹿多回合很耗）；地形加成沒有算進去。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52" customWidth="1" min="4" max="4"/>
    <col width="30" customWidth="1" min="5" max="5"/>
  </cols>
  <sheetData>
    <row r="1">
      <c r="A1" s="1" t="inlineStr">
        <is>
          <t>QA-45、46：傷勢與恢復</t>
        </is>
      </c>
    </row>
    <row r="3">
      <c r="A3" s="6" t="inlineStr">
        <is>
          <t>項目</t>
        </is>
      </c>
      <c r="B3" s="6" t="inlineStr">
        <is>
          <t>目前</t>
        </is>
      </c>
      <c r="C3" s="6" t="inlineStr">
        <is>
          <t>提案</t>
        </is>
      </c>
      <c r="D3" s="6" t="inlineStr">
        <is>
          <t>理由</t>
        </is>
      </c>
      <c r="E3" s="6" t="inlineStr">
        <is>
          <t>你的意見</t>
        </is>
      </c>
    </row>
    <row r="4">
      <c r="A4" s="7" t="inlineStr">
        <is>
          <t>輕傷：天數</t>
        </is>
      </c>
      <c r="B4" s="7" t="inlineStr">
        <is>
          <t>2 天</t>
        </is>
      </c>
      <c r="C4" s="8" t="inlineStr">
        <is>
          <t>2 天</t>
        </is>
      </c>
      <c r="D4" s="7" t="inlineStr">
        <is>
          <t>不變</t>
        </is>
      </c>
      <c r="E4" s="7" t="inlineStr"/>
    </row>
    <row r="5">
      <c r="A5" s="7" t="inlineStr">
        <is>
          <t>輕傷：睡覺的血量回復</t>
        </is>
      </c>
      <c r="B5" s="7" t="inlineStr">
        <is>
          <t>×1.0</t>
        </is>
      </c>
      <c r="C5" s="8" t="inlineStr">
        <is>
          <t>×0.8</t>
        </is>
      </c>
      <c r="D5" s="7" t="inlineStr">
        <is>
          <t>身上有傷，睡一覺好得慢一點</t>
        </is>
      </c>
      <c r="E5" s="7" t="inlineStr"/>
    </row>
    <row r="6">
      <c r="A6" s="7" t="inlineStr">
        <is>
          <t>輕傷：體力消耗</t>
        </is>
      </c>
      <c r="B6" s="7" t="inlineStr">
        <is>
          <t>+15%</t>
        </is>
      </c>
      <c r="C6" s="8" t="inlineStr">
        <is>
          <t>+15%</t>
        </is>
      </c>
      <c r="D6" s="7" t="inlineStr">
        <is>
          <t>不變（QA-07）</t>
        </is>
      </c>
      <c r="E6" s="7" t="inlineStr"/>
    </row>
    <row r="7">
      <c r="A7" s="7" t="inlineStr">
        <is>
          <t>重傷：天數</t>
        </is>
      </c>
      <c r="B7" s="7" t="inlineStr">
        <is>
          <t>3～5 天</t>
        </is>
      </c>
      <c r="C7" s="8" t="inlineStr">
        <is>
          <t>3～5 天</t>
        </is>
      </c>
      <c r="D7" s="7" t="inlineStr">
        <is>
          <t>不變，但痊癒速度看休養（下兩列）</t>
        </is>
      </c>
      <c r="E7" s="7" t="inlineStr"/>
    </row>
    <row r="8">
      <c r="A8" s="7" t="inlineStr">
        <is>
          <t>重傷：睡覺的血量回復</t>
        </is>
      </c>
      <c r="B8" s="7" t="inlineStr">
        <is>
          <t>×0.5</t>
        </is>
      </c>
      <c r="C8" s="8" t="inlineStr">
        <is>
          <t>×0.5</t>
        </is>
      </c>
      <c r="D8" s="7" t="inlineStr">
        <is>
          <t>不變</t>
        </is>
      </c>
      <c r="E8" s="7" t="inlineStr"/>
    </row>
    <row r="9">
      <c r="A9" s="7" t="inlineStr">
        <is>
          <t>重傷：血量上限（痊癒前）</t>
        </is>
      </c>
      <c r="B9" s="7" t="inlineStr">
        <is>
          <t>沒有</t>
        </is>
      </c>
      <c r="C9" s="8" t="inlineStr">
        <is>
          <t>最多回到 70%</t>
        </is>
      </c>
      <c r="D9" s="7" t="inlineStr">
        <is>
          <t>重傷期間不能回到滿血，硬撐去打架很危險</t>
        </is>
      </c>
      <c r="E9" s="7" t="inlineStr"/>
    </row>
    <row r="10">
      <c r="A10" s="7" t="inlineStr">
        <is>
          <t>每晚的痊癒進度：一般</t>
        </is>
      </c>
      <c r="B10" s="7" t="inlineStr">
        <is>
          <t>每天 −1 天</t>
        </is>
      </c>
      <c r="C10" s="8" t="inlineStr">
        <is>
          <t>每晚 −1 天</t>
        </is>
      </c>
      <c r="D10" s="7" t="inlineStr">
        <is>
          <t>改成睡覺時才算（原本換日就減），沒睡就不會好</t>
        </is>
      </c>
      <c r="E10" s="7" t="inlineStr"/>
    </row>
    <row r="11">
      <c r="A11" s="7" t="inlineStr">
        <is>
          <t>每晚的痊癒進度：好的休養</t>
        </is>
      </c>
      <c r="B11" s="7" t="inlineStr">
        <is>
          <t>—</t>
        </is>
      </c>
      <c r="C11" s="8" t="inlineStr">
        <is>
          <t>−2 天</t>
        </is>
      </c>
      <c r="D11" s="7" t="inlineStr">
        <is>
          <t>睡在巢穴或好睡處，而且飽食度 ≥ 60</t>
        </is>
      </c>
      <c r="E11" s="7" t="inlineStr"/>
    </row>
    <row r="12">
      <c r="A12" s="7" t="inlineStr">
        <is>
          <t>每晚的痊癒進度：挨餓</t>
        </is>
      </c>
      <c r="B12" s="7" t="inlineStr">
        <is>
          <t>—</t>
        </is>
      </c>
      <c r="C12" s="8" t="inlineStr">
        <is>
          <t>−0 天</t>
        </is>
      </c>
      <c r="D12" s="7" t="inlineStr">
        <is>
          <t>飽食度 &lt; 30 時傷不會好</t>
        </is>
      </c>
      <c r="E12" s="7" t="inlineStr"/>
    </row>
    <row r="13">
      <c r="A13" s="7" t="inlineStr">
        <is>
          <t>帶傷硬撐</t>
        </is>
      </c>
      <c r="B13" s="7" t="inlineStr">
        <is>
          <t>—</t>
        </is>
      </c>
      <c r="C13" s="8" t="inlineStr">
        <is>
          <t>50% 延長 1 天</t>
        </is>
      </c>
      <c r="D13" s="7" t="inlineStr">
        <is>
          <t>重傷期間打完一場戰鬥或狩獵的搏鬥，50% 多 1 天（最多 7 天）</t>
        </is>
      </c>
      <c r="E13" s="7" t="inlineStr"/>
    </row>
    <row r="14">
      <c r="A14" s="7" t="inlineStr">
        <is>
          <t>瀕危結束算重傷</t>
        </is>
      </c>
      <c r="B14" s="7" t="inlineStr">
        <is>
          <t>已做（10/5）</t>
        </is>
      </c>
      <c r="C14" s="8" t="inlineStr">
        <is>
          <t>保留</t>
        </is>
      </c>
      <c r="D14" s="7" t="inlineStr">
        <is>
          <t>QA-46</t>
        </is>
      </c>
      <c r="E14" s="7" t="inlineStr"/>
    </row>
    <row r="17">
      <c r="A17" s="3" t="inlineStr">
        <is>
          <t>例子（改藍字）：被灰熊打成重傷，看幾晚能好</t>
        </is>
      </c>
    </row>
    <row r="18">
      <c r="A18" t="inlineStr">
        <is>
          <t>重傷天數</t>
        </is>
      </c>
      <c r="B18" s="5" t="n">
        <v>4</v>
      </c>
    </row>
    <row r="19">
      <c r="A19" t="inlineStr">
        <is>
          <t>好的休養每晚減幾天</t>
        </is>
      </c>
      <c r="B19" s="5" t="n">
        <v>2</v>
      </c>
    </row>
    <row r="20">
      <c r="A20" t="inlineStr">
        <is>
          <t>一般每晚減幾天</t>
        </is>
      </c>
      <c r="B20" s="5" t="n">
        <v>1</v>
      </c>
    </row>
    <row r="21">
      <c r="A21" t="inlineStr">
        <is>
          <t>好好休養：幾晚痊癒</t>
        </is>
      </c>
      <c r="B21" s="3">
        <f>ROUNDUP(B18/B19,0)</f>
        <v/>
      </c>
    </row>
    <row r="22">
      <c r="A22" t="inlineStr">
        <is>
          <t>隨便睡：幾晚痊癒</t>
        </is>
      </c>
      <c r="B22" s="3">
        <f>ROUNDUP(B18/B20,0)</f>
        <v/>
      </c>
    </row>
    <row r="23">
      <c r="A23" t="inlineStr">
        <is>
          <t>重傷期間血量最多回到（血量上限 100 時）</t>
        </is>
      </c>
      <c r="B23" s="3">
        <f>100*0.7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4" customWidth="1" min="6" max="6"/>
    <col width="56" customWidth="1" min="7" max="7"/>
    <col width="26" customWidth="1" min="8" max="8"/>
  </cols>
  <sheetData>
    <row r="1">
      <c r="A1" s="1" t="inlineStr">
        <is>
          <t>QA-50：依獵物決定狩獵方式（追擊階段的加成；正數有利）</t>
        </is>
      </c>
    </row>
    <row r="3">
      <c r="A3" s="6" t="inlineStr">
        <is>
          <t>獵物</t>
        </is>
      </c>
      <c r="B3" s="6" t="inlineStr">
        <is>
          <t>目前能力（速度／體力）</t>
        </is>
      </c>
      <c r="C3" s="6" t="inlineStr">
        <is>
          <t>類型</t>
        </is>
      </c>
      <c r="D3" s="6" t="inlineStr">
        <is>
          <t>長距離跟隨</t>
        </is>
      </c>
      <c r="E3" s="6" t="inlineStr">
        <is>
          <t>全力衝刺</t>
        </is>
      </c>
      <c r="F3" s="6" t="inlineStr">
        <is>
          <t>跟隨時消耗獵物體力</t>
        </is>
      </c>
      <c r="G3" s="6" t="inlineStr">
        <is>
          <t>生態依據</t>
        </is>
      </c>
      <c r="H3" s="6" t="inlineStr">
        <is>
          <t>你的意見</t>
        </is>
      </c>
    </row>
    <row r="4">
      <c r="A4" s="7" t="inlineStr">
        <is>
          <t>北美馴鹿（成體）</t>
        </is>
      </c>
      <c r="B4" s="7" t="inlineStr">
        <is>
          <t>66／70</t>
        </is>
      </c>
      <c r="C4" s="8" t="inlineStr">
        <is>
          <t>耐力型、成群</t>
        </is>
      </c>
      <c r="D4" s="8" t="inlineStr">
        <is>
          <t>+10%</t>
        </is>
      </c>
      <c r="E4" s="8" t="inlineStr">
        <is>
          <t>−5%</t>
        </is>
      </c>
      <c r="F4" s="8" t="inlineStr">
        <is>
          <t>×1.3</t>
        </is>
      </c>
      <c r="G4" s="7" t="inlineStr">
        <is>
          <t>狼常以長距離追逐測試鹿群，拖出跑得慢的那一隻；開闊苔原不會跟丟</t>
        </is>
      </c>
      <c r="H4" s="7" t="inlineStr"/>
    </row>
    <row r="5">
      <c r="A5" s="7" t="inlineStr">
        <is>
          <t>北美馴鹿（幼體）</t>
        </is>
      </c>
      <c r="B5" s="7" t="inlineStr">
        <is>
          <t>55／45</t>
        </is>
      </c>
      <c r="C5" s="8" t="inlineStr">
        <is>
          <t>耐力型</t>
        </is>
      </c>
      <c r="D5" s="8" t="inlineStr">
        <is>
          <t>+10%</t>
        </is>
      </c>
      <c r="E5" s="8" t="inlineStr">
        <is>
          <t>0</t>
        </is>
      </c>
      <c r="F5" s="8" t="inlineStr">
        <is>
          <t>×1.3</t>
        </is>
      </c>
      <c r="G5" s="7" t="inlineStr">
        <is>
          <t>跟著鹿群跑，久了就落後</t>
        </is>
      </c>
      <c r="H5" s="7" t="inlineStr"/>
    </row>
    <row r="6">
      <c r="A6" s="7" t="inlineStr">
        <is>
          <t>白尾鹿（母鹿）</t>
        </is>
      </c>
      <c r="B6" s="7" t="inlineStr">
        <is>
          <t>60／55</t>
        </is>
      </c>
      <c r="C6" s="8" t="inlineStr">
        <is>
          <t>爆發型</t>
        </is>
      </c>
      <c r="D6" s="8" t="inlineStr">
        <is>
          <t>−8%</t>
        </is>
      </c>
      <c r="E6" s="8" t="inlineStr">
        <is>
          <t>+5%</t>
        </is>
      </c>
      <c r="F6" s="8" t="inlineStr">
        <is>
          <t>×1.0</t>
        </is>
      </c>
      <c r="G6" s="7" t="inlineStr">
        <is>
          <t>林間短距離衝刺、伏擊有利；長距離跟隨在密林容易跟丟</t>
        </is>
      </c>
      <c r="H6" s="7" t="inlineStr"/>
    </row>
    <row r="7">
      <c r="A7" s="7" t="inlineStr">
        <is>
          <t>白尾鹿（雄鹿）</t>
        </is>
      </c>
      <c r="B7" s="7" t="inlineStr">
        <is>
          <t>62／60</t>
        </is>
      </c>
      <c r="C7" s="8" t="inlineStr">
        <is>
          <t>爆發型、會站定</t>
        </is>
      </c>
      <c r="D7" s="8" t="inlineStr">
        <is>
          <t>−5%</t>
        </is>
      </c>
      <c r="E7" s="8" t="inlineStr">
        <is>
          <t>+5%</t>
        </is>
      </c>
      <c r="F7" s="8" t="inlineStr">
        <is>
          <t>×1.0</t>
        </is>
      </c>
      <c r="G7" s="7" t="inlineStr">
        <is>
          <t>同母鹿；追擊中可能轉身站定</t>
        </is>
      </c>
      <c r="H7" s="7" t="inlineStr"/>
    </row>
    <row r="8">
      <c r="A8" s="7" t="inlineStr">
        <is>
          <t>駝鹿（成體）</t>
        </is>
      </c>
      <c r="B8" s="7" t="inlineStr">
        <is>
          <t>60／80</t>
        </is>
      </c>
      <c r="C8" s="8" t="inlineStr">
        <is>
          <t>站定型</t>
        </is>
      </c>
      <c r="D8" s="8" t="inlineStr">
        <is>
          <t>+5%</t>
        </is>
      </c>
      <c r="E8" s="8" t="inlineStr">
        <is>
          <t>−5%</t>
        </is>
      </c>
      <c r="F8" s="8" t="inlineStr">
        <is>
          <t>×1.3</t>
        </is>
      </c>
      <c r="G8" s="7" t="inlineStr">
        <is>
          <t>常站定反擊；長距離消耗牠的體力有用，但正面搏鬥風險高</t>
        </is>
      </c>
      <c r="H8" s="7" t="inlineStr"/>
    </row>
    <row r="9">
      <c r="A9" s="7" t="inlineStr">
        <is>
          <t>駝鹿（幼體）</t>
        </is>
      </c>
      <c r="B9" s="7" t="inlineStr">
        <is>
          <t>45／40</t>
        </is>
      </c>
      <c r="C9" s="8" t="inlineStr">
        <is>
          <t>跟著母鹿</t>
        </is>
      </c>
      <c r="D9" s="8" t="inlineStr">
        <is>
          <t>0</t>
        </is>
      </c>
      <c r="E9" s="8" t="inlineStr">
        <is>
          <t>+5%</t>
        </is>
      </c>
      <c r="F9" s="8" t="inlineStr">
        <is>
          <t>×1.0</t>
        </is>
      </c>
      <c r="G9" s="7" t="inlineStr">
        <is>
          <t>主要目標；要小心母駝鹿</t>
        </is>
      </c>
      <c r="H9" s="7" t="inlineStr"/>
    </row>
    <row r="10">
      <c r="A10" s="7" t="inlineStr">
        <is>
          <t>狐狸</t>
        </is>
      </c>
      <c r="B10" s="7" t="inlineStr">
        <is>
          <t>70／30</t>
        </is>
      </c>
      <c r="C10" s="8" t="inlineStr">
        <is>
          <t>爆發型、會躲</t>
        </is>
      </c>
      <c r="D10" s="8" t="inlineStr">
        <is>
          <t>−10%</t>
        </is>
      </c>
      <c r="E10" s="8" t="inlineStr">
        <is>
          <t>+5%</t>
        </is>
      </c>
      <c r="F10" s="8" t="inlineStr">
        <is>
          <t>×1.0</t>
        </is>
      </c>
      <c r="G10" s="7" t="inlineStr">
        <is>
          <t>跟太久會鑽進洞裡躲起來</t>
        </is>
      </c>
      <c r="H10" s="7" t="inlineStr"/>
    </row>
    <row r="11">
      <c r="A11" s="7" t="inlineStr">
        <is>
          <t>野兔、雪兔、白尾鹿幼體</t>
        </is>
      </c>
      <c r="B11" s="7" t="inlineStr">
        <is>
          <t>—</t>
        </is>
      </c>
      <c r="C11" s="8" t="inlineStr">
        <is>
          <t>撲抓（簡易狩獵）</t>
        </is>
      </c>
      <c r="D11" s="8" t="inlineStr">
        <is>
          <t>—</t>
        </is>
      </c>
      <c r="E11" s="8" t="inlineStr">
        <is>
          <t>—</t>
        </is>
      </c>
      <c r="F11" s="8" t="inlineStr">
        <is>
          <t>—</t>
        </is>
      </c>
      <c r="G11" s="7" t="inlineStr">
        <is>
          <t>沒有追擊階段，不受影響</t>
        </is>
      </c>
      <c r="H11" s="7" t="inlineStr"/>
    </row>
    <row r="13">
      <c r="A13" s="2" t="inlineStr">
        <is>
          <t>另外：感知 ≥ 55 時，觀察階段會說出牠的類型，例如「牠的步伐穩，看起來能跑很久」「牠爆發力很強，但跑不久」。</t>
        </is>
      </c>
    </row>
    <row r="14">
      <c r="A14" s="11" t="inlineStr">
        <is>
          <t>目前所有大型獵物的跟隨、衝刺加成都相同（跟隨 +8%、衝刺 +16%），所以最佳打法幾乎一樣。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4" customWidth="1" min="11" max="11"/>
  </cols>
  <sheetData>
    <row r="1">
      <c r="A1" s="1" t="inlineStr">
        <is>
          <t>搏鬥的獵物力量值（取代「力量值 − 40 − 反擊」）</t>
        </is>
      </c>
    </row>
    <row r="2">
      <c r="A2" s="2" t="inlineStr">
        <is>
          <t>成功率 ≈ 基礎 + (狼的力量值 − 獵物力量值) ÷ 除數，限制在 5%～95%（再加減選項、追擊加成等）。狼的力量值 ≈ 力量 + 技巧。</t>
        </is>
      </c>
      <c r="F2" t="inlineStr">
        <is>
          <t>次成年</t>
        </is>
      </c>
      <c r="G2" t="inlineStr">
        <is>
          <t>成年</t>
        </is>
      </c>
      <c r="H2" t="inlineStr">
        <is>
          <t>巔峰</t>
        </is>
      </c>
    </row>
    <row r="3">
      <c r="A3" t="inlineStr">
        <is>
          <t>基礎</t>
        </is>
      </c>
      <c r="B3" s="12" t="n">
        <v>0.6</v>
      </c>
      <c r="C3" t="inlineStr">
        <is>
          <t>除數</t>
        </is>
      </c>
      <c r="D3" s="5" t="n">
        <v>130</v>
      </c>
      <c r="E3" t="inlineStr">
        <is>
          <t>狼的力量值：</t>
        </is>
      </c>
      <c r="F3" s="5" t="n">
        <v>80</v>
      </c>
      <c r="G3" s="5" t="n">
        <v>130</v>
      </c>
      <c r="H3" s="5" t="n">
        <v>150</v>
      </c>
    </row>
    <row r="5">
      <c r="A5" s="6" t="inlineStr">
        <is>
          <t>獵物</t>
        </is>
      </c>
      <c r="B5" s="6" t="inlineStr">
        <is>
          <t>反擊</t>
        </is>
      </c>
      <c r="C5" s="6" t="inlineStr">
        <is>
          <t>目前等效力量值（40＋反擊＋體型）</t>
        </is>
      </c>
      <c r="D5" s="6" t="inlineStr">
        <is>
          <t>提案力量值</t>
        </is>
      </c>
      <c r="E5" s="6" t="inlineStr">
        <is>
          <t>目前：次成年</t>
        </is>
      </c>
      <c r="F5" s="6" t="inlineStr">
        <is>
          <t>目前：成年</t>
        </is>
      </c>
      <c r="G5" s="6" t="inlineStr">
        <is>
          <t>目前：巔峰</t>
        </is>
      </c>
      <c r="H5" s="6" t="inlineStr">
        <is>
          <t>提案：次成年</t>
        </is>
      </c>
      <c r="I5" s="6" t="inlineStr">
        <is>
          <t>提案：成年</t>
        </is>
      </c>
      <c r="J5" s="6" t="inlineStr">
        <is>
          <t>提案：巔峰</t>
        </is>
      </c>
      <c r="K5" s="6" t="inlineStr">
        <is>
          <t>你的意見</t>
        </is>
      </c>
    </row>
    <row r="6">
      <c r="A6" s="9" t="inlineStr">
        <is>
          <t>白尾鹿幼體</t>
        </is>
      </c>
      <c r="B6" s="9" t="n">
        <v>0</v>
      </c>
      <c r="C6" s="9" t="n">
        <v>40</v>
      </c>
      <c r="D6" s="13" t="n">
        <v>35</v>
      </c>
      <c r="E6" s="14">
        <f>MAX(0.05,MIN(0.95,$B$3+(F$3-$C6)/$D$3))</f>
        <v/>
      </c>
      <c r="F6" s="14">
        <f>MAX(0.05,MIN(0.95,$B$3+(G$3-$C6)/$D$3))</f>
        <v/>
      </c>
      <c r="G6" s="14">
        <f>MAX(0.05,MIN(0.95,$B$3+(H$3-$C6)/$D$3))</f>
        <v/>
      </c>
      <c r="H6" s="14">
        <f>MAX(0.05,MIN(0.95,$B$3+(F$3-$D6)/$D$3))</f>
        <v/>
      </c>
      <c r="I6" s="14">
        <f>MAX(0.05,MIN(0.95,$B$3+(G$3-$D6)/$D$3))</f>
        <v/>
      </c>
      <c r="J6" s="14">
        <f>MAX(0.05,MIN(0.95,$B$3+(H$3-$D6)/$D$3))</f>
        <v/>
      </c>
      <c r="K6" s="15" t="n"/>
    </row>
    <row r="7">
      <c r="A7" s="9" t="inlineStr">
        <is>
          <t>白尾鹿母鹿</t>
        </is>
      </c>
      <c r="B7" s="9" t="n">
        <v>5</v>
      </c>
      <c r="C7" s="9" t="n">
        <v>45</v>
      </c>
      <c r="D7" s="13" t="n">
        <v>50</v>
      </c>
      <c r="E7" s="14">
        <f>MAX(0.05,MIN(0.95,$B$3+(F$3-$C7)/$D$3))</f>
        <v/>
      </c>
      <c r="F7" s="14">
        <f>MAX(0.05,MIN(0.95,$B$3+(G$3-$C7)/$D$3))</f>
        <v/>
      </c>
      <c r="G7" s="14">
        <f>MAX(0.05,MIN(0.95,$B$3+(H$3-$C7)/$D$3))</f>
        <v/>
      </c>
      <c r="H7" s="14">
        <f>MAX(0.05,MIN(0.95,$B$3+(F$3-$D7)/$D$3))</f>
        <v/>
      </c>
      <c r="I7" s="14">
        <f>MAX(0.05,MIN(0.95,$B$3+(G$3-$D7)/$D$3))</f>
        <v/>
      </c>
      <c r="J7" s="14">
        <f>MAX(0.05,MIN(0.95,$B$3+(H$3-$D7)/$D$3))</f>
        <v/>
      </c>
      <c r="K7" s="15" t="inlineStr"/>
    </row>
    <row r="8">
      <c r="A8" s="9" t="inlineStr">
        <is>
          <t>白尾鹿雄鹿</t>
        </is>
      </c>
      <c r="B8" s="9" t="n">
        <v>25</v>
      </c>
      <c r="C8" s="9" t="n">
        <v>65</v>
      </c>
      <c r="D8" s="13" t="n">
        <v>75</v>
      </c>
      <c r="E8" s="14">
        <f>MAX(0.05,MIN(0.95,$B$3+(F$3-$C8)/$D$3))</f>
        <v/>
      </c>
      <c r="F8" s="14">
        <f>MAX(0.05,MIN(0.95,$B$3+(G$3-$C8)/$D$3))</f>
        <v/>
      </c>
      <c r="G8" s="14">
        <f>MAX(0.05,MIN(0.95,$B$3+(H$3-$C8)/$D$3))</f>
        <v/>
      </c>
      <c r="H8" s="14">
        <f>MAX(0.05,MIN(0.95,$B$3+(F$3-$D8)/$D$3))</f>
        <v/>
      </c>
      <c r="I8" s="14">
        <f>MAX(0.05,MIN(0.95,$B$3+(G$3-$D8)/$D$3))</f>
        <v/>
      </c>
      <c r="J8" s="14">
        <f>MAX(0.05,MIN(0.95,$B$3+(H$3-$D8)/$D$3))</f>
        <v/>
      </c>
      <c r="K8" s="15" t="n"/>
    </row>
    <row r="9">
      <c r="A9" s="9" t="inlineStr">
        <is>
          <t>北美馴鹿幼體</t>
        </is>
      </c>
      <c r="B9" s="9" t="n">
        <v>0</v>
      </c>
      <c r="C9" s="9" t="n">
        <v>40</v>
      </c>
      <c r="D9" s="13" t="n">
        <v>40</v>
      </c>
      <c r="E9" s="14">
        <f>MAX(0.05,MIN(0.95,$B$3+(F$3-$C9)/$D$3))</f>
        <v/>
      </c>
      <c r="F9" s="14">
        <f>MAX(0.05,MIN(0.95,$B$3+(G$3-$C9)/$D$3))</f>
        <v/>
      </c>
      <c r="G9" s="14">
        <f>MAX(0.05,MIN(0.95,$B$3+(H$3-$C9)/$D$3))</f>
        <v/>
      </c>
      <c r="H9" s="14">
        <f>MAX(0.05,MIN(0.95,$B$3+(F$3-$D9)/$D$3))</f>
        <v/>
      </c>
      <c r="I9" s="14">
        <f>MAX(0.05,MIN(0.95,$B$3+(G$3-$D9)/$D$3))</f>
        <v/>
      </c>
      <c r="J9" s="14">
        <f>MAX(0.05,MIN(0.95,$B$3+(H$3-$D9)/$D$3))</f>
        <v/>
      </c>
      <c r="K9" s="15" t="n"/>
    </row>
    <row r="10">
      <c r="A10" s="9" t="inlineStr">
        <is>
          <t>北美馴鹿成體</t>
        </is>
      </c>
      <c r="B10" s="9" t="n">
        <v>10</v>
      </c>
      <c r="C10" s="9" t="n">
        <v>50</v>
      </c>
      <c r="D10" s="13" t="n">
        <v>60</v>
      </c>
      <c r="E10" s="14">
        <f>MAX(0.05,MIN(0.95,$B$3+(F$3-$C10)/$D$3))</f>
        <v/>
      </c>
      <c r="F10" s="14">
        <f>MAX(0.05,MIN(0.95,$B$3+(G$3-$C10)/$D$3))</f>
        <v/>
      </c>
      <c r="G10" s="14">
        <f>MAX(0.05,MIN(0.95,$B$3+(H$3-$C10)/$D$3))</f>
        <v/>
      </c>
      <c r="H10" s="14">
        <f>MAX(0.05,MIN(0.95,$B$3+(F$3-$D10)/$D$3))</f>
        <v/>
      </c>
      <c r="I10" s="14">
        <f>MAX(0.05,MIN(0.95,$B$3+(G$3-$D10)/$D$3))</f>
        <v/>
      </c>
      <c r="J10" s="14">
        <f>MAX(0.05,MIN(0.95,$B$3+(H$3-$D10)/$D$3))</f>
        <v/>
      </c>
      <c r="K10" s="15" t="n"/>
    </row>
    <row r="11">
      <c r="A11" s="9" t="inlineStr">
        <is>
          <t>駝鹿幼體</t>
        </is>
      </c>
      <c r="B11" s="9" t="n">
        <v>0</v>
      </c>
      <c r="C11" s="9" t="n">
        <v>40</v>
      </c>
      <c r="D11" s="13" t="n">
        <v>50</v>
      </c>
      <c r="E11" s="14">
        <f>MAX(0.05,MIN(0.95,$B$3+(F$3-$C11)/$D$3))</f>
        <v/>
      </c>
      <c r="F11" s="14">
        <f>MAX(0.05,MIN(0.95,$B$3+(G$3-$C11)/$D$3))</f>
        <v/>
      </c>
      <c r="G11" s="14">
        <f>MAX(0.05,MIN(0.95,$B$3+(H$3-$C11)/$D$3))</f>
        <v/>
      </c>
      <c r="H11" s="14">
        <f>MAX(0.05,MIN(0.95,$B$3+(F$3-$D11)/$D$3))</f>
        <v/>
      </c>
      <c r="I11" s="14">
        <f>MAX(0.05,MIN(0.95,$B$3+(G$3-$D11)/$D$3))</f>
        <v/>
      </c>
      <c r="J11" s="14">
        <f>MAX(0.05,MIN(0.95,$B$3+(H$3-$D11)/$D$3))</f>
        <v/>
      </c>
      <c r="K11" s="15" t="n"/>
    </row>
    <row r="12">
      <c r="A12" s="9" t="inlineStr">
        <is>
          <t>駝鹿成體</t>
        </is>
      </c>
      <c r="B12" s="9" t="n">
        <v>45</v>
      </c>
      <c r="C12" s="9" t="n">
        <v>130</v>
      </c>
      <c r="D12" s="13" t="n">
        <v>140</v>
      </c>
      <c r="E12" s="14">
        <f>MAX(0.05,MIN(0.95,$B$3+(F$3-$C12)/$D$3))</f>
        <v/>
      </c>
      <c r="F12" s="14">
        <f>MAX(0.05,MIN(0.95,$B$3+(G$3-$C12)/$D$3))</f>
        <v/>
      </c>
      <c r="G12" s="14">
        <f>MAX(0.05,MIN(0.95,$B$3+(H$3-$C12)/$D$3))</f>
        <v/>
      </c>
      <c r="H12" s="14">
        <f>MAX(0.05,MIN(0.95,$B$3+(F$3-$D12)/$D$3))</f>
        <v/>
      </c>
      <c r="I12" s="14">
        <f>MAX(0.05,MIN(0.95,$B$3+(G$3-$D12)/$D$3))</f>
        <v/>
      </c>
      <c r="J12" s="14">
        <f>MAX(0.05,MIN(0.95,$B$3+(H$3-$D12)/$D$3))</f>
        <v/>
      </c>
      <c r="K12" s="15" t="n"/>
    </row>
    <row r="13">
      <c r="A13" s="9" t="inlineStr">
        <is>
          <t>狐狸</t>
        </is>
      </c>
      <c r="B13" s="9" t="n">
        <v>5</v>
      </c>
      <c r="C13" s="9" t="n">
        <v>45</v>
      </c>
      <c r="D13" s="13" t="n">
        <v>35</v>
      </c>
      <c r="E13" s="14">
        <f>MAX(0.05,MIN(0.95,$B$3+(F$3-$C13)/$D$3))</f>
        <v/>
      </c>
      <c r="F13" s="14">
        <f>MAX(0.05,MIN(0.95,$B$3+(G$3-$C13)/$D$3))</f>
        <v/>
      </c>
      <c r="G13" s="14">
        <f>MAX(0.05,MIN(0.95,$B$3+(H$3-$C13)/$D$3))</f>
        <v/>
      </c>
      <c r="H13" s="14">
        <f>MAX(0.05,MIN(0.95,$B$3+(F$3-$D13)/$D$3))</f>
        <v/>
      </c>
      <c r="I13" s="14">
        <f>MAX(0.05,MIN(0.95,$B$3+(G$3-$D13)/$D$3))</f>
        <v/>
      </c>
      <c r="J13" s="14">
        <f>MAX(0.05,MIN(0.95,$B$3+(H$3-$D13)/$D$3))</f>
        <v/>
      </c>
      <c r="K13" s="15" t="n"/>
    </row>
    <row r="15">
      <c r="A15" s="3" t="inlineStr">
        <is>
          <t>說明</t>
        </is>
      </c>
    </row>
    <row r="16">
      <c r="A16" s="2" t="inlineStr">
        <is>
          <t>・目前的「等效力量值」= 40 + 反擊，駝鹿另外加上體型懲罰 35% × 130 ≈ 45。</t>
        </is>
      </c>
    </row>
    <row r="17">
      <c r="A17" s="2" t="inlineStr">
        <is>
          <t>・提案讓每種獵物有自己的力量值，和戰鬥模式同一個尺度（狐狸 30、幼熊 75、狼獾約 110、灰熊 170），之後標籤「力量佔優／勢均力敵」才說得通。</t>
        </is>
      </c>
    </row>
    <row r="18">
      <c r="A18" s="2" t="inlineStr">
        <is>
          <t>・提案值刻意讓成年狼的成功率和現在相近，只把明顯不合理的地方拉開：母鹿、雄鹿、成體馴鹿稍難；狐狸稍容易（牠不會正面纏鬥）；駝鹿成體更難。</t>
        </is>
      </c>
    </row>
    <row r="19">
      <c r="A19" s="2" t="inlineStr">
        <is>
          <t>・反擊值保留，用來決定搏鬥時被踢中、咬中的機率與傷害（不再算進成功率）。</t>
        </is>
      </c>
    </row>
    <row r="20">
      <c r="A20" s="2" t="inlineStr">
        <is>
          <t>・實作後會用 hunt_outcomes 模擬，讓整體狩獵成功率維持在目前的範圍附近，再回報差異。</t>
        </is>
      </c>
    </row>
    <row r="22">
      <c r="A22" s="3" t="inlineStr">
        <is>
          <t>要討論的一點</t>
        </is>
      </c>
    </row>
    <row r="23">
      <c r="A23" s="2" t="inlineStr">
        <is>
          <t>・上表顯示：成年、巔峰的狼對駝鹿成體以外的獵物，搏鬥的每一口都已經到上限 95%（新舊都是），也就是成年後搏鬥階段幾乎沒有難度，狩獵的成敗主要在潛近和追擊。</t>
        </is>
      </c>
    </row>
    <row r="24">
      <c r="A24" s="2" t="inlineStr">
        <is>
          <t>・如果希望成年狼獵雄鹿、成體馴鹿時，搏鬥仍有風險，可以把「基礎」從 60% 降到 45% 左右，或把這些獵物的力量值提高（例如雄鹿 110、成體馴鹿 90）。這會讓整體狩獵變難，需要重新模擬。</t>
        </is>
      </c>
    </row>
    <row r="25">
      <c r="A25" s="4" t="inlineStr">
        <is>
          <t>・我的建議：先維持基礎 60%，只換成獵物力量值（提案值）；搏鬥要不要更難，等 1.7 第 4 步「依獵物決定狩獵方式」一起看。改左上的藍字可以直接試算。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60" customWidth="1" min="3" max="3"/>
  </cols>
  <sheetData>
    <row r="1">
      <c r="A1" s="1" t="inlineStr">
        <is>
          <t>QA-10、49：戰鬥（目前的數值，等試玩紀錄再定）</t>
        </is>
      </c>
    </row>
    <row r="3">
      <c r="A3" s="6" t="inlineStr">
        <is>
          <t>項目</t>
        </is>
      </c>
      <c r="B3" s="6" t="inlineStr">
        <is>
          <t>目前</t>
        </is>
      </c>
      <c r="C3" s="6" t="inlineStr">
        <is>
          <t>說明</t>
        </is>
      </c>
    </row>
    <row r="4">
      <c r="A4" s="7" t="inlineStr">
        <is>
          <t>狼的每一口</t>
        </is>
      </c>
      <c r="B4" s="7" t="inlineStr">
        <is>
          <t>6 + 力量 × 0.12（±3），猛撲 ×1.7</t>
        </is>
      </c>
      <c r="C4" s="7" t="inlineStr">
        <is>
          <t>力量 60 時約 13，力量 100 時約 18</t>
        </is>
      </c>
    </row>
    <row r="5">
      <c r="A5" s="7" t="inlineStr">
        <is>
          <t>黑狼的每一口</t>
        </is>
      </c>
      <c r="B5" s="7" t="inlineStr">
        <is>
          <t>4 + 力量 × 0.15（範圍 +8）</t>
        </is>
      </c>
      <c r="C5" s="7" t="inlineStr">
        <is>
          <t>黑狼力量約 74：約 15～23</t>
        </is>
      </c>
    </row>
    <row r="6">
      <c r="A6" s="7" t="inlineStr">
        <is>
          <t>苔原狼的每一口</t>
        </is>
      </c>
      <c r="B6" s="7" t="inlineStr">
        <is>
          <t>同黑狼（力量約 63）</t>
        </is>
      </c>
      <c r="C6" s="7" t="inlineStr">
        <is>
          <t>約 13～21，另一隻插進來 20%（傷害 ×0.6）</t>
        </is>
      </c>
    </row>
    <row r="7">
      <c r="A7" s="7" t="inlineStr">
        <is>
          <t>灰熊的每一掌</t>
        </is>
      </c>
      <c r="B7" s="7" t="inlineStr">
        <is>
          <t>36～56</t>
        </is>
      </c>
      <c r="C7" s="7" t="inlineStr">
        <is>
          <t>一掌就是重傷</t>
        </is>
      </c>
    </row>
    <row r="8">
      <c r="A8" s="7" t="inlineStr">
        <is>
          <t>黑狼的耐力</t>
        </is>
      </c>
      <c r="B8" s="7" t="inlineStr">
        <is>
          <t>105～115</t>
        </is>
      </c>
      <c r="C8" s="7" t="inlineStr">
        <is>
          <t>低於 35% 示弱（依實力差距提早）</t>
        </is>
      </c>
    </row>
    <row r="9">
      <c r="A9" s="7" t="inlineStr">
        <is>
          <t>瀕危</t>
        </is>
      </c>
      <c r="B9" s="7" t="inlineStr">
        <is>
          <t>血量 &lt; 上限 25%</t>
        </is>
      </c>
      <c r="C9" s="7" t="inlineStr">
        <is>
          <t>瀕危後還繼續打，那一擊才可能致死</t>
        </is>
      </c>
    </row>
    <row r="10">
      <c r="A10" s="7" t="inlineStr">
        <is>
          <t>對手狀態描述</t>
        </is>
      </c>
      <c r="B10" s="7" t="inlineStr">
        <is>
          <t>耐力 &gt; 70%「還很有力」；&gt; 放棄門檻 + 15%「受了傷」；其餘「動搖」</t>
        </is>
      </c>
      <c r="C10" s="7" t="inlineStr">
        <is>
          <t>QA-10「一直命中還打不死」可能和這裡的門檻有關</t>
        </is>
      </c>
    </row>
    <row r="12">
      <c r="A12" s="2" t="inlineStr">
        <is>
          <t>計畫：等你有一場「莫名其妙被打死」或「打不死」的戰鬥，把 playtest_logs/ 的紀錄 commit 給我，依逐回合紀錄判斷是數值還是描述的問題，再提出這一頁的提案。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2026-10-05T07:03:35Z</dcterms:created>
  <dcterms:modified xsi:type="dcterms:W3CDTF">2026-10-05T07:09:28Z</dcterms:modified>
</cp:coreProperties>
</file>